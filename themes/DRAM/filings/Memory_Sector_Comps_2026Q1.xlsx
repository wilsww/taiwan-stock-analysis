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記憶體同業比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0.0"/>
    <numFmt numFmtId="167" formatCode="0.00&quot;x&quot;"/>
    <numFmt numFmtId="168" formatCode="0.0&quot;x&quot;"/>
  </numFmts>
  <fonts count="11">
    <font>
      <name val="Calibri"/>
      <family val="2"/>
      <color theme="1"/>
      <sz val="11"/>
      <scheme val="minor"/>
    </font>
    <font>
      <name val="Times New Roman"/>
      <b val="1"/>
      <color rgb="00FFFFFF"/>
      <sz val="13"/>
    </font>
    <font>
      <name val="Times New Roman"/>
      <b val="1"/>
      <color rgb="00FFFFFF"/>
      <sz val="10"/>
    </font>
    <font>
      <name val="Times New Roman"/>
      <b val="1"/>
      <color rgb="00FFFFFF"/>
      <sz val="9"/>
    </font>
    <font>
      <name val="Times New Roman"/>
      <b val="1"/>
      <color rgb="00000000"/>
      <sz val="9"/>
    </font>
    <font>
      <name val="Times New Roman"/>
      <b val="1"/>
      <color rgb="00000000"/>
      <sz val="10"/>
    </font>
    <font>
      <name val="Times New Roman"/>
      <color rgb="002E75B6"/>
      <sz val="10"/>
    </font>
    <font>
      <name val="Times New Roman"/>
      <i val="1"/>
      <color rgb="002E75B6"/>
      <sz val="10"/>
    </font>
    <font>
      <name val="Times New Roman"/>
      <i val="1"/>
      <color rgb="00999999"/>
      <sz val="10"/>
    </font>
    <font>
      <name val="Times New Roman"/>
      <color rgb="00000000"/>
      <sz val="9"/>
    </font>
    <font>
      <name val="Times New Roman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EBF3E8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4" fontId="6" fillId="6" borderId="0" applyAlignment="1" pivotButton="0" quotePrefix="0" xfId="0">
      <alignment horizontal="center" vertical="center"/>
    </xf>
    <xf numFmtId="164" fontId="6" fillId="6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center" wrapText="1"/>
    </xf>
    <xf numFmtId="165" fontId="6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10" fillId="7" borderId="0" applyAlignment="1" pivotButton="0" quotePrefix="0" xfId="0">
      <alignment horizontal="left" vertical="center"/>
    </xf>
    <xf numFmtId="49" fontId="10" fillId="7" borderId="0" applyAlignment="1" pivotButton="0" quotePrefix="0" xfId="0">
      <alignment horizontal="center" vertical="center"/>
    </xf>
    <xf numFmtId="164" fontId="10" fillId="7" borderId="0" applyAlignment="1" pivotButton="0" quotePrefix="0" xfId="0">
      <alignment horizontal="center" vertical="center"/>
    </xf>
    <xf numFmtId="166" fontId="10" fillId="7" borderId="0" applyAlignment="1" pivotButton="0" quotePrefix="0" xfId="0">
      <alignment horizontal="center" vertical="center"/>
    </xf>
    <xf numFmtId="2" fontId="10" fillId="7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164" fontId="5" fillId="7" borderId="0" applyAlignment="1" pivotButton="0" quotePrefix="0" xfId="0">
      <alignment horizontal="center" vertical="center"/>
    </xf>
    <xf numFmtId="2" fontId="5" fillId="7" borderId="0" applyAlignment="1" pivotButton="0" quotePrefix="0" xfId="0">
      <alignment horizontal="center" vertical="center"/>
    </xf>
    <xf numFmtId="3" fontId="6" fillId="6" borderId="0" applyAlignment="1" pivotButton="0" quotePrefix="0" xfId="0">
      <alignment horizontal="center" vertical="center"/>
    </xf>
    <xf numFmtId="4" fontId="10" fillId="6" borderId="0" applyAlignment="1" pivotButton="0" quotePrefix="0" xfId="0">
      <alignment horizontal="center" vertical="center"/>
    </xf>
    <xf numFmtId="167" fontId="10" fillId="6" borderId="0" applyAlignment="1" pivotButton="0" quotePrefix="0" xfId="0">
      <alignment horizontal="center" vertical="center"/>
    </xf>
    <xf numFmtId="168" fontId="10" fillId="6" borderId="0" applyAlignment="1" pivotButton="0" quotePrefix="0" xfId="0">
      <alignment horizontal="center" vertical="center"/>
    </xf>
    <xf numFmtId="168" fontId="6" fillId="6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167" fontId="10" fillId="7" borderId="0" applyAlignment="1" pivotButton="0" quotePrefix="0" xfId="0">
      <alignment horizontal="center" vertical="center"/>
    </xf>
    <xf numFmtId="168" fontId="10" fillId="7" borderId="0" applyAlignment="1" pivotButton="0" quotePrefix="0" xfId="0">
      <alignment horizontal="center" vertical="center"/>
    </xf>
    <xf numFmtId="3" fontId="10" fillId="7" borderId="0" applyAlignment="1" pivotButton="0" quotePrefix="0" xfId="0">
      <alignment horizontal="center" vertical="center"/>
    </xf>
    <xf numFmtId="167" fontId="5" fillId="7" borderId="0" applyAlignment="1" pivotButton="0" quotePrefix="0" xfId="0">
      <alignment horizontal="center" vertical="center"/>
    </xf>
    <xf numFmtId="168" fontId="5" fillId="7" borderId="0" applyAlignment="1" pivotButton="0" quotePrefix="0" xfId="0">
      <alignment horizontal="center" vertical="center"/>
    </xf>
    <xf numFmtId="3" fontId="5" fillId="7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9" fillId="10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9" fillId="11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Comps Model</author>
  </authors>
  <commentList>
    <comment ref="D7" authorId="0" shapeId="0">
      <text>
        <t>Source: 含新唐(4919)子公司合並；純記憶體段落毛利率更高；全年EPS受Q1-Q2虧損拖累</t>
      </text>
    </comment>
    <comment ref="F7" authorId="0" shapeId="0">
      <text>
        <t>~27%e (含新唐稀釋~9pp；純記憶體段落更高)</t>
      </text>
    </comment>
    <comment ref="K7" authorId="0" shapeId="0">
      <text>
        <t>Q4合並毛利率41.86%；記憶體段落50.8%</t>
      </text>
    </comment>
    <comment ref="L7" authorId="0" shapeId="0">
      <text>
        <t>估計值；待Q4 2025年報確認</t>
      </text>
    </comment>
    <comment ref="D8" authorId="0" shapeId="0">
      <text>
        <t>Source: 官方Q4 2025自結財報(2026/01/19)；全年轉虧為盈；Q4獲利NT$110.83億</t>
      </text>
    </comment>
    <comment ref="F8" authorId="0" shapeId="0">
      <text>
        <t>官方財報；Q4毛利率49.0%，Q3=18.5%，Q2=-20.6%</t>
      </text>
    </comment>
    <comment ref="K8" authorId="0" shapeId="0">
      <text>
        <t>官方Q4 2025自結新聞稿；Q4單季EPS 3.58</t>
      </text>
    </comment>
    <comment ref="L8" authorId="0" shapeId="0">
      <text>
        <t>官方數據；截至2025/12/31</t>
      </text>
    </comment>
    <comment ref="D9" authorId="0" shapeId="0">
      <text>
        <t>Source: FY2025截至2025年8月；TTM Revenue $581億，TTM EPS $21.26；Q2 FY2026 guided $18.7B revenue</t>
      </text>
    </comment>
    <comment ref="F9" authorId="0" shapeId="0">
      <text>
        <t>FY2025 10-K; DRAM prices +mid-60% YoY</t>
      </text>
    </comment>
    <comment ref="L9" authorId="0" shapeId="0">
      <text>
        <t>Nov 2025 quarter; TTM EPS已達$21.26</t>
      </text>
    </comment>
    <comment ref="D10" authorId="0" shapeId="0">
      <text>
        <t>Source: FY2025含大額減損(-$1.93B Q3 FY2025)；LTM Revenue $89.3億；Q2 FY2026 EPS $5.15顯示快速復甦</t>
      </text>
    </comment>
    <comment ref="F10" authorId="0" shapeId="0">
      <text>
        <t>FY2025 ending Jun 2025; LTM gross margin 32.4%</t>
      </text>
    </comment>
    <comment ref="K10" authorId="0" shapeId="0">
      <text>
        <t>Q2 FY2026 (most recent quarter, ended ~Jan 2026)</t>
      </text>
    </comment>
    <comment ref="L10" authorId="0" shapeId="0">
      <text>
        <t>As of Jan 2026 quarter-end; total equity ~$9.96B</t>
      </text>
    </comment>
    <comment ref="I20" authorId="0" shapeId="0">
      <text>
        <t>Bloomberg consensus 2026E EPS NT$4.6；JPMorgan NT$6.3</t>
      </text>
    </comment>
    <comment ref="I21" authorId="0" shapeId="0">
      <text>
        <t>基於JP analysts 2026E EPS NT$16.54（保守）；凱基估NT$33.16</t>
      </text>
    </comment>
    <comment ref="H22" authorId="0" shapeId="0">
      <text>
        <t>Source: stockanalysis.com, TTM basis</t>
      </text>
    </comment>
    <comment ref="I22" authorId="0" shapeId="0">
      <text>
        <t>stockanalysis.com consensus; TTM EPS $21.26 已遠超FY25的$7.59</t>
      </text>
    </comment>
    <comment ref="J22" authorId="0" shapeId="0">
      <text>
        <t>EV = Market Cap + Net Debt (approximate)</t>
      </text>
    </comment>
    <comment ref="I23" authorId="0" shapeId="0">
      <text>
        <t>Forward PE 9.05x; Q2 FY2026 EPS $5.15；全年2026供給幾乎售罄</t>
      </text>
    </comment>
    <comment ref="J23" authorId="0" shapeId="0">
      <text>
        <t>EV = Market Cap + Net Debt (approximate)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" customWidth="1" min="3" max="3"/>
    <col width="11" customWidth="1" min="4" max="4"/>
    <col width="11" customWidth="1" min="5" max="5"/>
    <col width="11" customWidth="1" min="6" max="6"/>
    <col width="10" customWidth="1" min="7" max="7"/>
    <col width="12" customWidth="1" min="8" max="8"/>
    <col width="14" customWidth="1" min="9" max="9"/>
    <col width="11" customWidth="1" min="10" max="10"/>
    <col width="13" customWidth="1" min="11" max="11"/>
    <col width="12" customWidth="1" min="12" max="12"/>
    <col width="50" customWidth="1" min="13" max="13"/>
  </cols>
  <sheetData>
    <row r="1" ht="30" customHeight="1">
      <c r="A1" s="1" t="inlineStr">
        <is>
          <t>記憶體產業同業比較分析   MEMORY SECTOR COMPARABLE COMPANY ANALYSIS</t>
        </is>
      </c>
    </row>
    <row r="2" ht="20" customHeight="1">
      <c r="A2" s="2" t="inlineStr">
        <is>
          <t>華邦電子 (2344.TW)  •  南亞科技 (2408.TW)  •  Micron Technology (MU)  •  SanDisk Corporation (SNDK)</t>
        </is>
      </c>
    </row>
    <row r="3" ht="16" customHeight="1">
      <c r="A3" s="3" t="inlineStr">
        <is>
          <t>截至 2026年3月22日  |  台股：新台幣億元 (NT$100M)  |  美股：美元億元 (US$100M)  |  參考匯率 32 NT$/USD</t>
        </is>
      </c>
    </row>
    <row r="4" ht="6" customHeight="1"/>
    <row r="5" ht="22" customHeight="1">
      <c r="A5" s="4" t="inlineStr">
        <is>
          <t>▌ 第一部分：營運指標與財務績效   OPERATING STATISTICS &amp; FINANCIAL METRICS   （基準：FY2025）</t>
        </is>
      </c>
    </row>
    <row r="6" ht="44" customHeight="1">
      <c r="A6" s="5" t="inlineStr">
        <is>
          <t>公司 / Company</t>
        </is>
      </c>
      <c r="B6" s="5" t="inlineStr">
        <is>
          <t>代碼 Ticker</t>
        </is>
      </c>
      <c r="C6" s="5" t="inlineStr">
        <is>
          <t>幣別</t>
        </is>
      </c>
      <c r="D6" s="5" t="inlineStr">
        <is>
          <t>全年營收
(億)</t>
        </is>
      </c>
      <c r="E6" s="5" t="inlineStr">
        <is>
          <t>YoY 成長%</t>
        </is>
      </c>
      <c r="F6" s="5" t="inlineStr">
        <is>
          <t>毛利率%
Gross Margin</t>
        </is>
      </c>
      <c r="G6" s="5" t="inlineStr">
        <is>
          <t>EBITDA
(億)</t>
        </is>
      </c>
      <c r="H6" s="5" t="inlineStr">
        <is>
          <t>EBITDA%</t>
        </is>
      </c>
      <c r="I6" s="5" t="inlineStr">
        <is>
          <t>營業利益率%
Op. Margin</t>
        </is>
      </c>
      <c r="J6" s="5" t="inlineStr">
        <is>
          <t>EPS
(全年 2025)</t>
        </is>
      </c>
      <c r="K6" s="5" t="inlineStr">
        <is>
          <t>Q4 2025
毛利率%</t>
        </is>
      </c>
      <c r="L6" s="5" t="inlineStr">
        <is>
          <t>每股淨值
BV / Share</t>
        </is>
      </c>
      <c r="M6" s="5" t="inlineStr">
        <is>
          <t>備註 Notes</t>
        </is>
      </c>
    </row>
    <row r="7" ht="24" customHeight="1">
      <c r="A7" s="6" t="inlineStr">
        <is>
          <t>華邦電子  Winbond</t>
        </is>
      </c>
      <c r="B7" s="7" t="inlineStr">
        <is>
          <t>2344.TW</t>
        </is>
      </c>
      <c r="C7" s="7" t="inlineStr">
        <is>
          <t>NT$</t>
        </is>
      </c>
      <c r="D7" s="8" t="n">
        <v>894.0599999999999</v>
      </c>
      <c r="E7" s="9" t="n">
        <v>0.0955</v>
      </c>
      <c r="F7" s="10" t="inlineStr">
        <is>
          <t>~27%e</t>
        </is>
      </c>
      <c r="G7" s="11" t="inlineStr">
        <is>
          <t>N/Ae</t>
        </is>
      </c>
      <c r="H7" s="11" t="inlineStr">
        <is>
          <t>N/Ae</t>
        </is>
      </c>
      <c r="I7" s="11" t="inlineStr">
        <is>
          <t>N/A</t>
        </is>
      </c>
      <c r="J7" s="12" t="n">
        <v>0.88</v>
      </c>
      <c r="K7" s="9" t="n">
        <v>0.4186</v>
      </c>
      <c r="L7" s="7" t="n">
        <v>21</v>
      </c>
      <c r="M7" s="13" t="inlineStr">
        <is>
          <t>含新唐(4919)子公司合並；純記憶體段落毛利率更高；全年EPS受Q1-Q2虧損拖累</t>
        </is>
      </c>
    </row>
    <row r="8" ht="24" customHeight="1">
      <c r="A8" s="6" t="inlineStr">
        <is>
          <t>南亞科技  Nanya Tech</t>
        </is>
      </c>
      <c r="B8" s="7" t="inlineStr">
        <is>
          <t>2408.TW</t>
        </is>
      </c>
      <c r="C8" s="7" t="inlineStr">
        <is>
          <t>NT$</t>
        </is>
      </c>
      <c r="D8" s="8" t="n">
        <v>665.87</v>
      </c>
      <c r="E8" s="9" t="n">
        <v>0.951</v>
      </c>
      <c r="F8" s="9" t="n">
        <v>0.225</v>
      </c>
      <c r="G8" s="14" t="n">
        <v>177</v>
      </c>
      <c r="H8" s="9" t="n">
        <v>0.266</v>
      </c>
      <c r="I8" s="9" t="n">
        <v>0.079</v>
      </c>
      <c r="J8" s="12" t="n">
        <v>2.13</v>
      </c>
      <c r="K8" s="9" t="n">
        <v>0.49</v>
      </c>
      <c r="L8" s="7" t="n">
        <v>54.99</v>
      </c>
      <c r="M8" s="13" t="inlineStr">
        <is>
          <t>官方Q4 2025自結財報(2026/01/19)；全年轉虧為盈；Q4獲利NT$110.83億</t>
        </is>
      </c>
    </row>
    <row r="9" ht="24" customHeight="1">
      <c r="A9" s="6" t="inlineStr">
        <is>
          <t>Micron Technology</t>
        </is>
      </c>
      <c r="B9" s="7" t="inlineStr">
        <is>
          <t>MU</t>
        </is>
      </c>
      <c r="C9" s="7" t="inlineStr">
        <is>
          <t>US$</t>
        </is>
      </c>
      <c r="D9" s="8" t="n">
        <v>374</v>
      </c>
      <c r="E9" s="9" t="n">
        <v>0.492</v>
      </c>
      <c r="F9" s="9" t="n">
        <v>0.398</v>
      </c>
      <c r="G9" s="14" t="n">
        <v>181</v>
      </c>
      <c r="H9" s="9" t="n">
        <v>0.484</v>
      </c>
      <c r="I9" s="11" t="inlineStr">
        <is>
          <t>N/A</t>
        </is>
      </c>
      <c r="J9" s="12" t="n">
        <v>7.59</v>
      </c>
      <c r="K9" s="11" t="inlineStr">
        <is>
          <t>N/A</t>
        </is>
      </c>
      <c r="L9" s="7" t="n">
        <v>52.23</v>
      </c>
      <c r="M9" s="13" t="inlineStr">
        <is>
          <t>FY2025截至2025年8月；TTM Revenue $581億，TTM EPS $21.26；Q2 FY2026 guided $18.7B revenue</t>
        </is>
      </c>
    </row>
    <row r="10" ht="24" customHeight="1">
      <c r="A10" s="6" t="inlineStr">
        <is>
          <t>SanDisk Corporation</t>
        </is>
      </c>
      <c r="B10" s="7" t="inlineStr">
        <is>
          <t>SNDK</t>
        </is>
      </c>
      <c r="C10" s="7" t="inlineStr">
        <is>
          <t>US$</t>
        </is>
      </c>
      <c r="D10" s="8" t="n">
        <v>73.59999999999999</v>
      </c>
      <c r="E10" s="9" t="n">
        <v>0.104</v>
      </c>
      <c r="F10" s="9" t="n">
        <v>0.301</v>
      </c>
      <c r="G10" s="14" t="n">
        <v>-12.1</v>
      </c>
      <c r="H10" s="9" t="n">
        <v>-0.164</v>
      </c>
      <c r="I10" s="11" t="inlineStr">
        <is>
          <t>N/A</t>
        </is>
      </c>
      <c r="J10" s="12" t="n">
        <v>-11.32</v>
      </c>
      <c r="K10" s="9" t="n">
        <v>0.509</v>
      </c>
      <c r="L10" s="7" t="n">
        <v>68.66</v>
      </c>
      <c r="M10" s="13" t="inlineStr">
        <is>
          <t>FY2025含大額減損(-$1.93B Q3 FY2025)；LTM Revenue $89.3億；Q2 FY2026 EPS $5.15顯示快速復甦</t>
        </is>
      </c>
    </row>
    <row r="11" ht="6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</row>
    <row r="12" ht="18" customHeight="1">
      <c r="A12" s="16" t="inlineStr">
        <is>
          <t>最大值 Maximum</t>
        </is>
      </c>
      <c r="D12" s="17" t="inlineStr">
        <is>
          <t>—</t>
        </is>
      </c>
      <c r="E12" s="18">
        <f>MAX(E7:E10)</f>
        <v/>
      </c>
      <c r="F12" s="18">
        <f>MAX(F8:F10)</f>
        <v/>
      </c>
      <c r="G12" s="19">
        <f>MAX(G8:G9)</f>
        <v/>
      </c>
      <c r="H12" s="19">
        <f>MAX(H8:H9)</f>
        <v/>
      </c>
      <c r="I12" s="19">
        <f>MAX(I8:I8)</f>
        <v/>
      </c>
      <c r="J12" s="20">
        <f>MAX(J7:J10)</f>
        <v/>
      </c>
      <c r="K12" s="18">
        <f>MAX(K7,K8,K10)</f>
        <v/>
      </c>
      <c r="L12" s="21" t="inlineStr"/>
      <c r="M12" s="21" t="inlineStr"/>
    </row>
    <row r="13" ht="18" customHeight="1">
      <c r="A13" s="16" t="inlineStr">
        <is>
          <t>75th 百分位 75th Pct.</t>
        </is>
      </c>
      <c r="D13" s="17" t="inlineStr">
        <is>
          <t>—</t>
        </is>
      </c>
      <c r="E13" s="18">
        <f>QUARTILE(E7:E10,3)</f>
        <v/>
      </c>
      <c r="F13" s="18">
        <f>QUARTILE(F8:F10,3)</f>
        <v/>
      </c>
      <c r="G13" s="19">
        <f>QUARTILE(G8:G9,3)</f>
        <v/>
      </c>
      <c r="H13" s="19">
        <f>QUARTILE(H8:H9,3)</f>
        <v/>
      </c>
      <c r="I13" s="19">
        <f>QUARTILE(I8:I8,3)</f>
        <v/>
      </c>
      <c r="J13" s="20">
        <f>QUARTILE(J7:J10,3)</f>
        <v/>
      </c>
      <c r="K13" s="18">
        <f>QUARTILE((K7,K8,K10),3)</f>
        <v/>
      </c>
      <c r="L13" s="21" t="inlineStr"/>
      <c r="M13" s="21" t="inlineStr"/>
    </row>
    <row r="14" ht="18" customHeight="1">
      <c r="A14" s="22" t="inlineStr">
        <is>
          <t>中位數 Median</t>
        </is>
      </c>
      <c r="D14" s="17" t="inlineStr">
        <is>
          <t>—</t>
        </is>
      </c>
      <c r="E14" s="23">
        <f>MEDIAN(E7:E10)</f>
        <v/>
      </c>
      <c r="F14" s="23">
        <f>MEDIAN(F8:F10)</f>
        <v/>
      </c>
      <c r="G14" s="19">
        <f>MEDIAN(G8:G9)</f>
        <v/>
      </c>
      <c r="H14" s="19">
        <f>MEDIAN(H8:H9)</f>
        <v/>
      </c>
      <c r="I14" s="19">
        <f>MEDIAN(I8:I8)</f>
        <v/>
      </c>
      <c r="J14" s="24">
        <f>MEDIAN(J7:J10)</f>
        <v/>
      </c>
      <c r="K14" s="23">
        <f>MEDIAN(K7,K8,K10)</f>
        <v/>
      </c>
      <c r="L14" s="21" t="inlineStr"/>
      <c r="M14" s="21" t="inlineStr"/>
    </row>
    <row r="15" ht="18" customHeight="1">
      <c r="A15" s="16" t="inlineStr">
        <is>
          <t>25th 百分位 25th Pct.</t>
        </is>
      </c>
      <c r="D15" s="17" t="inlineStr">
        <is>
          <t>—</t>
        </is>
      </c>
      <c r="E15" s="18">
        <f>QUARTILE(E7:E10,1)</f>
        <v/>
      </c>
      <c r="F15" s="18">
        <f>QUARTILE(F8:F10,1)</f>
        <v/>
      </c>
      <c r="G15" s="19">
        <f>QUARTILE(G8:G9,1)</f>
        <v/>
      </c>
      <c r="H15" s="19">
        <f>QUARTILE(H8:H9,1)</f>
        <v/>
      </c>
      <c r="I15" s="19">
        <f>QUARTILE(I8:I8,1)</f>
        <v/>
      </c>
      <c r="J15" s="20">
        <f>QUARTILE(J7:J10,1)</f>
        <v/>
      </c>
      <c r="K15" s="18">
        <f>QUARTILE((K7,K8,K10),1)</f>
        <v/>
      </c>
      <c r="L15" s="21" t="inlineStr"/>
      <c r="M15" s="21" t="inlineStr"/>
    </row>
    <row r="16" ht="18" customHeight="1">
      <c r="A16" s="16" t="inlineStr">
        <is>
          <t>最小值 Minimum</t>
        </is>
      </c>
      <c r="D16" s="17" t="inlineStr">
        <is>
          <t>—</t>
        </is>
      </c>
      <c r="E16" s="18">
        <f>MIN(E7:E10)</f>
        <v/>
      </c>
      <c r="F16" s="18">
        <f>MIN(F8:F10)</f>
        <v/>
      </c>
      <c r="G16" s="19">
        <f>MIN(G8:G9)</f>
        <v/>
      </c>
      <c r="H16" s="19">
        <f>MIN(H8:H9)</f>
        <v/>
      </c>
      <c r="I16" s="19">
        <f>MIN(I8:I8)</f>
        <v/>
      </c>
      <c r="J16" s="20">
        <f>MIN(J7:J10)</f>
        <v/>
      </c>
      <c r="K16" s="18">
        <f>MIN(K7,K8,K10)</f>
        <v/>
      </c>
      <c r="L16" s="21" t="inlineStr"/>
      <c r="M16" s="21" t="inlineStr"/>
    </row>
    <row r="17" ht="8" customHeight="1"/>
    <row r="18" ht="22" customHeight="1">
      <c r="A18" s="4" t="inlineStr">
        <is>
          <t>▌ 第二部分：估值倍數比較   VALUATION MULTIPLES   （截至 2026年3月20日收盤）</t>
        </is>
      </c>
    </row>
    <row r="19" ht="44" customHeight="1">
      <c r="A19" s="5" t="inlineStr">
        <is>
          <t>公司 / Company</t>
        </is>
      </c>
      <c r="B19" s="5" t="inlineStr">
        <is>
          <t>代碼 Ticker</t>
        </is>
      </c>
      <c r="C19" s="5" t="inlineStr">
        <is>
          <t>幣別</t>
        </is>
      </c>
      <c r="D19" s="5" t="inlineStr">
        <is>
          <t>股價
Price</t>
        </is>
      </c>
      <c r="E19" s="5" t="inlineStr">
        <is>
          <t>市值
(億)</t>
        </is>
      </c>
      <c r="F19" s="5" t="inlineStr">
        <is>
          <t>每股淨值
BV/Share</t>
        </is>
      </c>
      <c r="G19" s="5" t="inlineStr">
        <is>
          <t>P / B</t>
        </is>
      </c>
      <c r="H19" s="5" t="inlineStr">
        <is>
          <t>P/E
Trailing</t>
        </is>
      </c>
      <c r="I19" s="5" t="inlineStr">
        <is>
          <t>P/E Forward
2026E</t>
        </is>
      </c>
      <c r="J19" s="5" t="inlineStr">
        <is>
          <t>EV (億)e</t>
        </is>
      </c>
      <c r="K19" s="5" t="inlineStr">
        <is>
          <t>EV/Revenue
(FY25)</t>
        </is>
      </c>
      <c r="L19" s="5" t="inlineStr">
        <is>
          <t>EV/EBITDA
(FY25)</t>
        </is>
      </c>
      <c r="M19" s="5" t="inlineStr">
        <is>
          <t>估值評等 vs Peers</t>
        </is>
      </c>
    </row>
    <row r="20" ht="26" customHeight="1">
      <c r="A20" s="6" t="inlineStr">
        <is>
          <t>華邦電子  Winbond</t>
        </is>
      </c>
      <c r="B20" s="7" t="inlineStr">
        <is>
          <t>2344.TW</t>
        </is>
      </c>
      <c r="C20" s="7" t="inlineStr">
        <is>
          <t>NT$</t>
        </is>
      </c>
      <c r="D20" s="8" t="n">
        <v>110</v>
      </c>
      <c r="E20" s="25" t="n">
        <v>4950</v>
      </c>
      <c r="F20" s="26">
        <f>L7</f>
        <v/>
      </c>
      <c r="G20" s="27">
        <f>D20/F20</f>
        <v/>
      </c>
      <c r="H20" s="28">
        <f>D20/J7</f>
        <v/>
      </c>
      <c r="I20" s="29" t="n">
        <v>23.9</v>
      </c>
      <c r="J20" s="11" t="inlineStr">
        <is>
          <t>N/Ae</t>
        </is>
      </c>
      <c r="K20" s="11" t="inlineStr">
        <is>
          <t>N/Ae</t>
        </is>
      </c>
      <c r="L20" s="11" t="inlineStr">
        <is>
          <t>N/Ae</t>
        </is>
      </c>
      <c r="M20" s="30" t="inlineStr">
        <is>
          <t>⚠ 相對溢價</t>
        </is>
      </c>
    </row>
    <row r="21" ht="26" customHeight="1">
      <c r="A21" s="6" t="inlineStr">
        <is>
          <t>南亞科技  Nanya Tech</t>
        </is>
      </c>
      <c r="B21" s="7" t="inlineStr">
        <is>
          <t>2408.TW</t>
        </is>
      </c>
      <c r="C21" s="7" t="inlineStr">
        <is>
          <t>NT$</t>
        </is>
      </c>
      <c r="D21" s="8" t="n">
        <v>234</v>
      </c>
      <c r="E21" s="25" t="n">
        <v>7251</v>
      </c>
      <c r="F21" s="26">
        <f>L8</f>
        <v/>
      </c>
      <c r="G21" s="27">
        <f>D21/F21</f>
        <v/>
      </c>
      <c r="H21" s="28">
        <f>D21/J8</f>
        <v/>
      </c>
      <c r="I21" s="29" t="n">
        <v>14.1</v>
      </c>
      <c r="J21" s="11" t="inlineStr">
        <is>
          <t>N/Ae</t>
        </is>
      </c>
      <c r="K21" s="11" t="inlineStr">
        <is>
          <t>N/Ae</t>
        </is>
      </c>
      <c r="L21" s="11" t="inlineStr">
        <is>
          <t>N/Ae</t>
        </is>
      </c>
      <c r="M21" s="31" t="inlineStr">
        <is>
          <t>✓ 合理/偏低</t>
        </is>
      </c>
    </row>
    <row r="22" ht="26" customHeight="1">
      <c r="A22" s="6" t="inlineStr">
        <is>
          <t>Micron Technology</t>
        </is>
      </c>
      <c r="B22" s="7" t="inlineStr">
        <is>
          <t>MU</t>
        </is>
      </c>
      <c r="C22" s="7" t="inlineStr">
        <is>
          <t>US$</t>
        </is>
      </c>
      <c r="D22" s="8" t="n">
        <v>422.9</v>
      </c>
      <c r="E22" s="25" t="n">
        <v>4769</v>
      </c>
      <c r="F22" s="26">
        <f>L9</f>
        <v/>
      </c>
      <c r="G22" s="27">
        <f>D22/F22</f>
        <v/>
      </c>
      <c r="H22" s="29" t="n">
        <v>19.89</v>
      </c>
      <c r="I22" s="29" t="n">
        <v>4.72</v>
      </c>
      <c r="J22" s="25" t="n">
        <v>4819</v>
      </c>
      <c r="K22" s="28">
        <f>J22/D9</f>
        <v/>
      </c>
      <c r="L22" s="28">
        <f>J22/G9</f>
        <v/>
      </c>
      <c r="M22" s="31" t="inlineStr">
        <is>
          <t>✓ 折扣</t>
        </is>
      </c>
    </row>
    <row r="23" ht="26" customHeight="1">
      <c r="A23" s="6" t="inlineStr">
        <is>
          <t>SanDisk Corporation</t>
        </is>
      </c>
      <c r="B23" s="7" t="inlineStr">
        <is>
          <t>SNDK</t>
        </is>
      </c>
      <c r="C23" s="7" t="inlineStr">
        <is>
          <t>US$</t>
        </is>
      </c>
      <c r="D23" s="8" t="n">
        <v>709.71</v>
      </c>
      <c r="E23" s="25" t="n">
        <v>1047</v>
      </c>
      <c r="F23" s="26">
        <f>L10</f>
        <v/>
      </c>
      <c r="G23" s="27">
        <f>D23/F23</f>
        <v/>
      </c>
      <c r="H23" s="11" t="inlineStr">
        <is>
          <t>N/M</t>
        </is>
      </c>
      <c r="I23" s="29" t="n">
        <v>9.050000000000001</v>
      </c>
      <c r="J23" s="25" t="n">
        <v>1041</v>
      </c>
      <c r="K23" s="28">
        <f>J23/D10</f>
        <v/>
      </c>
      <c r="L23" s="11" t="inlineStr">
        <is>
          <t>N/M</t>
        </is>
      </c>
      <c r="M23" s="30" t="inlineStr">
        <is>
          <t>⚠ 高溢價</t>
        </is>
      </c>
    </row>
    <row r="24" ht="6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</row>
    <row r="25" ht="18" customHeight="1">
      <c r="A25" s="16" t="inlineStr">
        <is>
          <t>最大值 Maximum</t>
        </is>
      </c>
      <c r="G25" s="32">
        <f>MAX(G20:G23)</f>
        <v/>
      </c>
      <c r="H25" s="33">
        <f>MAX(H20:H22)</f>
        <v/>
      </c>
      <c r="I25" s="33">
        <f>MAX(I20:I23)</f>
        <v/>
      </c>
      <c r="J25" s="34">
        <f>MAX(J22:J23)</f>
        <v/>
      </c>
      <c r="K25" s="33">
        <f>MAX(K22:K23)</f>
        <v/>
      </c>
      <c r="L25" s="21" t="inlineStr">
        <is>
          <t>—</t>
        </is>
      </c>
      <c r="M25" s="21" t="inlineStr"/>
    </row>
    <row r="26" ht="18" customHeight="1">
      <c r="A26" s="16" t="inlineStr">
        <is>
          <t>75th 百分位 75th Pct.</t>
        </is>
      </c>
      <c r="G26" s="32">
        <f>QUARTILE(G20:G23,3)</f>
        <v/>
      </c>
      <c r="H26" s="33">
        <f>QUARTILE(H20:H22,3)</f>
        <v/>
      </c>
      <c r="I26" s="33">
        <f>QUARTILE(I20:I23,3)</f>
        <v/>
      </c>
      <c r="J26" s="34">
        <f>QUARTILE(J22:J23,3)</f>
        <v/>
      </c>
      <c r="K26" s="33">
        <f>QUARTILE(K22:K23,3)</f>
        <v/>
      </c>
      <c r="L26" s="21" t="inlineStr">
        <is>
          <t>—</t>
        </is>
      </c>
      <c r="M26" s="21" t="inlineStr"/>
    </row>
    <row r="27" ht="18" customHeight="1">
      <c r="A27" s="22" t="inlineStr">
        <is>
          <t>中位數 Median</t>
        </is>
      </c>
      <c r="G27" s="35">
        <f>MEDIAN(G20:G23)</f>
        <v/>
      </c>
      <c r="H27" s="36">
        <f>MEDIAN(H20:H22)</f>
        <v/>
      </c>
      <c r="I27" s="36">
        <f>MEDIAN(I20:I23)</f>
        <v/>
      </c>
      <c r="J27" s="37">
        <f>MEDIAN(J22:J23)</f>
        <v/>
      </c>
      <c r="K27" s="36">
        <f>MEDIAN(K22:K23)</f>
        <v/>
      </c>
      <c r="L27" s="21" t="inlineStr">
        <is>
          <t>—</t>
        </is>
      </c>
      <c r="M27" s="21" t="inlineStr"/>
    </row>
    <row r="28" ht="18" customHeight="1">
      <c r="A28" s="16" t="inlineStr">
        <is>
          <t>25th 百分位 25th Pct.</t>
        </is>
      </c>
      <c r="G28" s="32">
        <f>QUARTILE(G20:G23,1)</f>
        <v/>
      </c>
      <c r="H28" s="33">
        <f>QUARTILE(H20:H22,1)</f>
        <v/>
      </c>
      <c r="I28" s="33">
        <f>QUARTILE(I20:I23,1)</f>
        <v/>
      </c>
      <c r="J28" s="34">
        <f>QUARTILE(J22:J23,1)</f>
        <v/>
      </c>
      <c r="K28" s="33">
        <f>QUARTILE(K22:K23,1)</f>
        <v/>
      </c>
      <c r="L28" s="21" t="inlineStr">
        <is>
          <t>—</t>
        </is>
      </c>
      <c r="M28" s="21" t="inlineStr"/>
    </row>
    <row r="29" ht="18" customHeight="1">
      <c r="A29" s="16" t="inlineStr">
        <is>
          <t>最小值 Minimum</t>
        </is>
      </c>
      <c r="G29" s="32">
        <f>MIN(G20:G23)</f>
        <v/>
      </c>
      <c r="H29" s="33">
        <f>MIN(H20:H22)</f>
        <v/>
      </c>
      <c r="I29" s="33">
        <f>MIN(I20:I23)</f>
        <v/>
      </c>
      <c r="J29" s="34">
        <f>MIN(J22:J23)</f>
        <v/>
      </c>
      <c r="K29" s="33">
        <f>MIN(K22:K23)</f>
        <v/>
      </c>
      <c r="L29" s="21" t="inlineStr">
        <is>
          <t>—</t>
        </is>
      </c>
      <c r="M29" s="21" t="inlineStr"/>
    </row>
    <row r="30" ht="8" customHeight="1"/>
    <row r="31" ht="22" customHeight="1">
      <c r="A31" s="4" t="inlineStr">
        <is>
          <t>▌ 第三部分：週期定位與核心結論   CYCLE POSITION &amp; KEY INVESTMENT CONCLUSIONS</t>
        </is>
      </c>
    </row>
    <row r="32" ht="36" customHeight="1">
      <c r="A32" s="38" t="inlineStr">
        <is>
          <t>① 華邦電 vs 南亞科  
（最直接同業）</t>
        </is>
      </c>
      <c r="D32" s="30" t="inlineStr">
        <is>
          <t>⚠ PB 溢價 ~23%</t>
        </is>
      </c>
      <c r="F32" s="39" t="inlineStr">
        <is>
          <t>華邦電 P/B ~5.24x vs 南亞科 4.25x，溢價約23%。Forward PE 23.9x(4.6E) vs 南亞科 14.1x(16.54E)。南亞科週期 EPS 槓桿 8-18x，製程升級 1C→1D 節奏明確，Q4 毛利率 49%，股價仍有向上空間。華邦電溢價在財務上難以支撐，估值偏貴。</t>
        </is>
      </c>
    </row>
    <row r="33" ht="4" customHeight="1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</row>
    <row r="34" ht="36" customHeight="1">
      <c r="A34" s="38" t="inlineStr">
        <is>
          <t>② 華邦電 vs Micron  
（全球龍頭）</t>
        </is>
      </c>
      <c r="D34" s="30" t="inlineStr">
        <is>
          <t>Forward PE 高出 5x</t>
        </is>
      </c>
      <c r="F34" s="39" t="inlineStr">
        <is>
          <t>MU Forward PE 4.72x（最便宜），TTM EPS $21.26 已大幅超越 FY25 的 $7.59；華邦電 Forward PE 23.9x。即使考量規模與技術差距，MU 的週期性折扣更深，顯示市場對台灣 Specialty DRAM 給予相對流動性/成長溢價，但絕對估值偏高。</t>
        </is>
      </c>
    </row>
    <row r="35" ht="4" customHeight="1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</row>
    <row r="36" ht="36" customHeight="1">
      <c r="A36" s="38" t="inlineStr">
        <is>
          <t>③ 華邦電 vs SanDisk  
（NAND 超循環）</t>
        </is>
      </c>
      <c r="D36" s="31" t="inlineStr">
        <is>
          <t>PB 折扣 (NAND&gt;DRAM)</t>
        </is>
      </c>
      <c r="F36" s="41" t="inlineStr">
        <is>
          <t>SNDK PB 10.3x 顯示市場對 NAND 超循環的高度定價（2026 年 NAND 供給幾乎全年售罄）。華邦電 PB 5.24x 相比 NAND 週期股明顯折扣，反映 Specialty DRAM 週期力道不及 NAND。NAND 復甦週期較 DRAM 超前，SNDK 溢價有一定合理性，但 10x PB 也偏激進。</t>
        </is>
      </c>
    </row>
    <row r="37" ht="4" customHeight="1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</row>
    <row r="38" ht="36" customHeight="1">
      <c r="A38" s="38" t="inlineStr">
        <is>
          <t>④ 關鍵投資結論</t>
        </is>
      </c>
      <c r="D38" s="30" t="inlineStr">
        <is>
          <t>四家中估值最貴</t>
        </is>
      </c>
      <c r="F38" s="39" t="inlineStr">
        <is>
          <t>華邦電在四家中 Forward PE 最高、P/B 溢價最大，不具備最高估值的財務支撐。若使用純記憶體段落拆分（排除新唐稀釋），估值可能更合理，但需等 Q4 2025 正式財報。目前股價 NT$110 接近部分外資目標價上限（NT$83-120）。若 2026E EPS 兌現 NT$6-7，PE 將降至 15-18x，估值合理化需靠獲利成長而非股價上漲。</t>
        </is>
      </c>
    </row>
    <row r="39" ht="4" customHeight="1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</row>
    <row r="40" ht="36" customHeight="1">
      <c r="A40" s="38" t="inlineStr">
        <is>
          <t>⑤ 四大常駐風險</t>
        </is>
      </c>
      <c r="D40" s="42" t="inlineStr">
        <is>
          <t>必須定期更新</t>
        </is>
      </c>
      <c r="F40" s="43" t="inlineStr">
        <is>
          <t>① CXMT：DDR3/DDR4 市場價格壓力持續，但 EUV 限制使進階製程良率落後。② 三星 P4 HBM4：2027H1 供給衝擊視窗，需每季確認。③ AI CapEx 成長率：任一大廠 YoY 降幅 &gt;10% 為警戒訊號。④ 地緣政治：InP 基板出口管制已解除(2025Q3)，台海情勢持續監控。</t>
        </is>
      </c>
    </row>
    <row r="41" ht="4" customHeight="1">
      <c r="A41" s="40" t="n"/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</row>
    <row r="42" ht="8" customHeight="1"/>
    <row r="43" ht="22" customHeight="1">
      <c r="A43" s="4" t="inlineStr">
        <is>
          <t>▌ 第四部分：資料來源與方法論   DATA SOURCES &amp; METHODOLOGY</t>
        </is>
      </c>
    </row>
    <row r="44" ht="32" customHeight="1">
      <c r="A44" s="44" t="inlineStr">
        <is>
          <t>資料來源</t>
        </is>
      </c>
      <c r="C44" s="45" t="inlineStr">
        <is>
          <t>南亞科: 官方Q4 2025自結新聞稿(2026/01/19) ✓  |  華邦電: 法說會PDF + Web search  |  Micron: 10-K FY2025 &amp; Form 10-Q  |  SanDisk: FY2025年報 &amp; FY2026 Q1-Q2財報  |  股價/市值: 2026/03/20收盤</t>
        </is>
      </c>
    </row>
    <row r="45" ht="32" customHeight="1">
      <c r="A45" s="44" t="inlineStr">
        <is>
          <t>標記說明</t>
        </is>
      </c>
      <c r="C45" s="45" t="inlineStr">
        <is>
          <t>藍字 = 直接輸入數據  |  黑字 = 公式計算  |  'e' 後綴 = 估計值  |  N/A = 不適用  |  N/M = 無意義 (如負數倍數)  |  ~ = 概略值</t>
        </is>
      </c>
    </row>
    <row r="46" ht="32" customHeight="1">
      <c r="A46" s="44" t="inlineStr">
        <is>
          <t>幣別說明</t>
        </is>
      </c>
      <c r="C46" s="45" t="inlineStr">
        <is>
          <t>台股以 NT$億 (NT$100M) 計；美股以 US$億 (US$100M) 計。P/B、P/E、EV倍數可跨幣別比較；Revenue、Market Cap絕對數字不可直接比較。參考匯率 32 NT$/USD，NT$894億 ≈ US$27.9億。</t>
        </is>
      </c>
    </row>
    <row r="47" ht="32" customHeight="1">
      <c r="A47" s="44" t="inlineStr">
        <is>
          <t>重要估計值</t>
        </is>
      </c>
      <c r="C47" s="45" t="inlineStr">
        <is>
          <t>① 華邦電 BV/Share ~NT$21為估計（實際值待Q4 2025正式年報）② 華邦電 FY2025毛利率~27%為加權估計（Q4=41.9%, Q3=46.7%, Q2=22.7%）③ 南亞科 EBITDA ~NT$177億 = 營業淨利NT$52.4億 + 估算D&amp;A ~NT$125億④ Micron BV/Share $52.23截至2025年11月</t>
        </is>
      </c>
    </row>
    <row r="48" ht="32" customHeight="1">
      <c r="A48" s="44" t="inlineStr">
        <is>
          <t>分析限制</t>
        </is>
      </c>
      <c r="C48" s="45" t="inlineStr">
        <is>
          <t>① 台股 EV 計算因缺乏即時淨負債數據而省略（建議補充MOPS財報）② 跨幣別 EV 倍數比較存在匯率風險③ 華邦電純記憶體段落估值需另行拆分（新唐合併稀釋毛利率~9pp）④ Forward EPS為共識預估，實際差異可能顯著</t>
        </is>
      </c>
    </row>
  </sheetData>
  <mergeCells count="42">
    <mergeCell ref="A48:B48"/>
    <mergeCell ref="A5:M5"/>
    <mergeCell ref="D34:E34"/>
    <mergeCell ref="A27:F27"/>
    <mergeCell ref="F34:M34"/>
    <mergeCell ref="A45:B45"/>
    <mergeCell ref="D40:E40"/>
    <mergeCell ref="A26:F26"/>
    <mergeCell ref="A12:C12"/>
    <mergeCell ref="D36:E36"/>
    <mergeCell ref="A43:M43"/>
    <mergeCell ref="C45:M45"/>
    <mergeCell ref="F40:M40"/>
    <mergeCell ref="A31:M31"/>
    <mergeCell ref="A32:C32"/>
    <mergeCell ref="A14:C14"/>
    <mergeCell ref="A46:B46"/>
    <mergeCell ref="C47:M47"/>
    <mergeCell ref="D32:E32"/>
    <mergeCell ref="F36:M36"/>
    <mergeCell ref="C44:M44"/>
    <mergeCell ref="A29:F29"/>
    <mergeCell ref="A38:C38"/>
    <mergeCell ref="F32:M32"/>
    <mergeCell ref="A13:C13"/>
    <mergeCell ref="A28:F28"/>
    <mergeCell ref="A1:M1"/>
    <mergeCell ref="A47:B47"/>
    <mergeCell ref="F38:M38"/>
    <mergeCell ref="A40:C40"/>
    <mergeCell ref="C46:M46"/>
    <mergeCell ref="A34:C34"/>
    <mergeCell ref="A15:C15"/>
    <mergeCell ref="C48:M48"/>
    <mergeCell ref="A36:C36"/>
    <mergeCell ref="A18:M18"/>
    <mergeCell ref="D38:E38"/>
    <mergeCell ref="A3:M3"/>
    <mergeCell ref="A44:B44"/>
    <mergeCell ref="A2:M2"/>
    <mergeCell ref="A16:C16"/>
    <mergeCell ref="A25:F25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2026-03-22T14:16:18Z</dcterms:created>
  <dcterms:modified xsi:type="dcterms:W3CDTF">2026-03-22T14:16:18Z</dcterms:modified>
</cp:coreProperties>
</file>